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B097EE2F-119A-40E1-9CB1-14CAD56B2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Data" sheetId="1" r:id="rId1"/>
    <sheet name="Marks_Analysis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2" l="1"/>
  <c r="O9" i="2"/>
  <c r="N8" i="1"/>
  <c r="L17" i="2"/>
  <c r="J17" i="2"/>
  <c r="K17" i="2" s="1"/>
  <c r="L16" i="2"/>
  <c r="J16" i="2"/>
  <c r="K16" i="2" s="1"/>
  <c r="L15" i="2"/>
  <c r="K15" i="2"/>
  <c r="J15" i="2"/>
  <c r="L14" i="2"/>
  <c r="J14" i="2"/>
  <c r="K14" i="2" s="1"/>
  <c r="L13" i="2"/>
  <c r="J13" i="2"/>
  <c r="K13" i="2" s="1"/>
  <c r="L12" i="2"/>
  <c r="J12" i="2"/>
  <c r="K12" i="2" s="1"/>
  <c r="L11" i="2"/>
  <c r="K11" i="2"/>
  <c r="J11" i="2"/>
  <c r="L10" i="2"/>
  <c r="J10" i="2"/>
  <c r="K10" i="2" s="1"/>
  <c r="L9" i="2"/>
  <c r="J9" i="2"/>
  <c r="K9" i="2" s="1"/>
  <c r="L8" i="2"/>
  <c r="J8" i="2"/>
  <c r="K8" i="2" s="1"/>
  <c r="L7" i="2"/>
  <c r="K7" i="2"/>
  <c r="J7" i="2"/>
  <c r="L6" i="2"/>
  <c r="J6" i="2"/>
  <c r="K6" i="2" s="1"/>
  <c r="L5" i="2"/>
  <c r="J5" i="2"/>
  <c r="K5" i="2" s="1"/>
  <c r="L4" i="2"/>
  <c r="J4" i="2"/>
  <c r="K4" i="2" s="1"/>
  <c r="L3" i="2"/>
  <c r="K3" i="2"/>
  <c r="J3" i="2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3" i="1"/>
  <c r="N7" i="2" s="1"/>
  <c r="N4" i="2" l="1"/>
  <c r="K3" i="1"/>
</calcChain>
</file>

<file path=xl/sharedStrings.xml><?xml version="1.0" encoding="utf-8"?>
<sst xmlns="http://schemas.openxmlformats.org/spreadsheetml/2006/main" count="150" uniqueCount="76">
  <si>
    <t>Name</t>
  </si>
  <si>
    <t>Roll No</t>
  </si>
  <si>
    <t>Class</t>
  </si>
  <si>
    <t>City</t>
  </si>
  <si>
    <t>Rahul Verma</t>
  </si>
  <si>
    <t>Neha Sharma</t>
  </si>
  <si>
    <t>Jaipur</t>
  </si>
  <si>
    <t>Aman Khan</t>
  </si>
  <si>
    <t>Lucknow</t>
  </si>
  <si>
    <t>Pooja Patel</t>
  </si>
  <si>
    <t>Surat</t>
  </si>
  <si>
    <t>Suresh Das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</si>
  <si>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</si>
  <si>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</si>
  <si>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</si>
  <si>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</si>
  <si>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</si>
  <si>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</si>
  <si>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</si>
  <si>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</si>
  <si>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</si>
  <si>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</si>
  <si>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</si>
  <si>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</si>
  <si>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</si>
  <si>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</si>
  <si>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</si>
  <si>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Arjun Mehta</t>
  </si>
  <si>
    <t>Mumbai</t>
  </si>
  <si>
    <t>Kavya Nair</t>
  </si>
  <si>
    <t>Kochi</t>
  </si>
  <si>
    <t>Marks (ENGLISH)</t>
  </si>
  <si>
    <t>Marks (MATHS)</t>
  </si>
  <si>
    <t>Marks (SCIENCE)</t>
  </si>
  <si>
    <t>Student Result Management</t>
  </si>
  <si>
    <t>First Name</t>
  </si>
  <si>
    <t>Last Name</t>
  </si>
  <si>
    <t>Rahul</t>
  </si>
  <si>
    <t>Verma</t>
  </si>
  <si>
    <t>Neha</t>
  </si>
  <si>
    <t>Aman</t>
  </si>
  <si>
    <t>Pooja</t>
  </si>
  <si>
    <t>Suresh</t>
  </si>
  <si>
    <t>Ankit</t>
  </si>
  <si>
    <t>Riya</t>
  </si>
  <si>
    <t>Mohit</t>
  </si>
  <si>
    <t>Sneha</t>
  </si>
  <si>
    <t>Karan</t>
  </si>
  <si>
    <t>Aditi</t>
  </si>
  <si>
    <t>Nikhil</t>
  </si>
  <si>
    <t>Simran</t>
  </si>
  <si>
    <t>Arjun</t>
  </si>
  <si>
    <t>Kavya</t>
  </si>
  <si>
    <t>Sharma</t>
  </si>
  <si>
    <t>Khan</t>
  </si>
  <si>
    <t>Patel</t>
  </si>
  <si>
    <t>Das</t>
  </si>
  <si>
    <t>Singh</t>
  </si>
  <si>
    <t>Gupta</t>
  </si>
  <si>
    <t>Jain</t>
  </si>
  <si>
    <t>Iyer</t>
  </si>
  <si>
    <t>Malhotra</t>
  </si>
  <si>
    <t>Rao</t>
  </si>
  <si>
    <t>Pawar</t>
  </si>
  <si>
    <t>Kaur</t>
  </si>
  <si>
    <t>Mehta</t>
  </si>
  <si>
    <t>Nair</t>
  </si>
  <si>
    <t>Delhi</t>
  </si>
  <si>
    <t>Total Marks</t>
  </si>
  <si>
    <t>Status</t>
  </si>
  <si>
    <t>Delhi Student</t>
  </si>
  <si>
    <t>Average Marks</t>
  </si>
  <si>
    <t>Max Marks</t>
  </si>
  <si>
    <t>Min Marks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</si>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</sst>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0" fillId="2" borderId="1" xfId="0" applyFill="1" applyBorder="1"/>
    <xf numFmtId="0" fontId="0" fillId="0" borderId="3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Maths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Marks_Analysis!$H$3:$H$17</c:f>
              <c:numCache>
                <c:formatCode>General</c:formatCode>
                <c:ptCount val="15"/>
                <c:pt idx="0">
                  <c:v>82</c:v>
                </c:pt>
                <c:pt idx="1">
                  <c:v>10</c:v>
                </c:pt>
                <c:pt idx="2">
                  <c:v>92</c:v>
                </c:pt>
                <c:pt idx="3">
                  <c:v>10</c:v>
                </c:pt>
                <c:pt idx="4">
                  <c:v>84</c:v>
                </c:pt>
                <c:pt idx="5">
                  <c:v>10</c:v>
                </c:pt>
                <c:pt idx="6">
                  <c:v>89</c:v>
                </c:pt>
                <c:pt idx="7">
                  <c:v>77</c:v>
                </c:pt>
                <c:pt idx="8">
                  <c:v>88</c:v>
                </c:pt>
                <c:pt idx="9">
                  <c:v>79</c:v>
                </c:pt>
                <c:pt idx="10">
                  <c:v>83</c:v>
                </c:pt>
                <c:pt idx="11">
                  <c:v>91</c:v>
                </c:pt>
                <c:pt idx="12">
                  <c:v>85</c:v>
                </c:pt>
                <c:pt idx="13">
                  <c:v>90</c:v>
                </c:pt>
                <c:pt idx="1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D-46C6-A839-649437CD0D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1135343"/>
        <c:axId val="561128143"/>
      </c:barChart>
      <c:catAx>
        <c:axId val="56113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28143"/>
        <c:crosses val="autoZero"/>
        <c:auto val="1"/>
        <c:lblAlgn val="ctr"/>
        <c:lblOffset val="100"/>
        <c:noMultiLvlLbl val="0"/>
      </c:catAx>
      <c:valAx>
        <c:axId val="5611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3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Pass&amp;Fail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457-41F4-A664-4D5D475C3AA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457-41F4-A664-4D5D475C3A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Marks_Analysis!$N$9:$N$10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Marks_Analysis!$O$9:$O$10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57-41F4-A664-4D5D475C3A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426720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55564-9D1E-492E-89CA-E81921E8A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327660</xdr:colOff>
      <xdr:row>0</xdr:row>
      <xdr:rowOff>0</xdr:rowOff>
    </xdr:from>
    <xdr:to>
      <xdr:col>9</xdr:col>
      <xdr:colOff>754380</xdr:colOff>
      <xdr:row>10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F49C35-41EA-41BB-ABB8-C33C7CB60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61539-6D5C-43C0-A1E2-2D95A0BEC983}" name="Table1" displayName="Table1" ref="A2:K17" totalsRowShown="0" headerRowDxfId="0" dataDxfId="1" headerRowBorderDxfId="14" tableBorderDxfId="15" totalsRowBorderDxfId="13">
  <autoFilter ref="A2:K17" xr:uid="{56461539-6D5C-43C0-A1E2-2D95A0BEC983}"/>
  <tableColumns count="11">
    <tableColumn id="1" xr3:uid="{0E5FC84C-B787-4645-9C8E-3E755E0FD105}" name="Name" dataDxfId="12"/>
    <tableColumn id="2" xr3:uid="{FCB2E835-590D-40D9-B42A-F98C4E3B5A38}" name="First Name" dataDxfId="11"/>
    <tableColumn id="3" xr3:uid="{0D8DBFEA-1798-499A-B993-9443FCC202AA}" name="Last Name" dataDxfId="10"/>
    <tableColumn id="4" xr3:uid="{0CBA9C79-77D1-4266-900C-C9719D278D4A}" name="Roll No" dataDxfId="9"/>
    <tableColumn id="5" xr3:uid="{B654BCCD-AE10-4F7C-9F8A-D41E40238D1F}" name="Class" dataDxfId="8"/>
    <tableColumn id="6" xr3:uid="{F471E9E4-AFD4-4E91-BD2E-8CF7ECB5AE62}" name="City" dataDxfId="7"/>
    <tableColumn id="7" xr3:uid="{C90447C0-235F-44C3-897B-0BB5E35452CE}" name="Marks (ENGLISH)" dataDxfId="6"/>
    <tableColumn id="8" xr3:uid="{0817C2F7-1D69-4210-85BC-D6455E610701}" name="Marks (MATHS)" dataDxfId="5"/>
    <tableColumn id="9" xr3:uid="{5784B182-B714-4B38-942C-FCCD240DAEE2}" name="Marks (SCIENCE)" dataDxfId="4"/>
    <tableColumn id="10" xr3:uid="{54E11ABE-7ADE-4172-A339-61A1BE96F8A7}" name="Total Marks" dataDxfId="3">
      <calculatedColumnFormula>SUM(G3:I3)</calculatedColumnFormula>
    </tableColumn>
    <tableColumn id="11" xr3:uid="{CC73970E-AFE2-41EF-8926-0C07113661BB}" name="Status" dataDxfId="2">
      <calculatedColumnFormula>IF(J3&gt;=120,"Pass","Fail")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70" zoomScaleNormal="70" workbookViewId="0">
      <selection activeCell="M3" sqref="M3"/>
    </sheetView>
  </sheetViews>
  <sheetFormatPr defaultRowHeight="20.399999999999999" x14ac:dyDescent="0.35"/>
  <cols>
    <col min="1" max="3" width="17.73046875" customWidth="1"/>
    <col min="4" max="6" width="11.46484375" customWidth="1"/>
    <col min="7" max="7" width="16.9296875" customWidth="1"/>
    <col min="8" max="8" width="15.53125" customWidth="1"/>
    <col min="9" max="9" width="17.06640625" customWidth="1"/>
    <col min="10" max="10" width="12.265625" customWidth="1"/>
  </cols>
  <sheetData>
    <row r="1" spans="1:15" ht="58.05" customHeight="1" x14ac:dyDescent="0.35">
      <c r="A1" s="10" t="s">
        <v>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6"/>
    </row>
    <row r="2" spans="1:15" ht="58.05" customHeight="1" x14ac:dyDescent="0.35">
      <c r="A2" s="19" t="s">
        <v>0</v>
      </c>
      <c r="B2" s="20" t="s">
        <v>35</v>
      </c>
      <c r="C2" s="20" t="s">
        <v>36</v>
      </c>
      <c r="D2" s="20" t="s">
        <v>1</v>
      </c>
      <c r="E2" s="20" t="s">
        <v>2</v>
      </c>
      <c r="F2" s="20" t="s">
        <v>3</v>
      </c>
      <c r="G2" s="21" t="s">
        <v>31</v>
      </c>
      <c r="H2" s="21" t="s">
        <v>32</v>
      </c>
      <c r="I2" s="21" t="s">
        <v>33</v>
      </c>
      <c r="J2" s="22" t="s">
        <v>68</v>
      </c>
      <c r="K2" s="23" t="s">
        <v>69</v>
      </c>
      <c r="L2" s="5"/>
      <c r="M2" s="5"/>
      <c r="N2" s="5"/>
    </row>
    <row r="3" spans="1:15" ht="35.549999999999997" customHeight="1" x14ac:dyDescent="0.35">
      <c r="A3" s="18" t="s">
        <v>4</v>
      </c>
      <c r="B3" s="2" t="s">
        <v>37</v>
      </c>
      <c r="C3" s="2" t="s">
        <v>38</v>
      </c>
      <c r="D3" s="2">
        <v>1</v>
      </c>
      <c r="E3" s="2">
        <v>9</v>
      </c>
      <c r="F3" s="2" t="s">
        <v>67</v>
      </c>
      <c r="G3" s="2">
        <v>78</v>
      </c>
      <c r="H3" s="2">
        <v>82</v>
      </c>
      <c r="I3" s="2">
        <v>75</v>
      </c>
      <c r="J3" s="13">
        <f>SUM(G3:I3)</f>
        <v>235</v>
      </c>
      <c r="K3" s="14" t="str">
        <f>IF(J3&gt;=120,"Pass","Fail")</f>
        <v>Pass</v>
      </c>
      <c r="L3" s="15"/>
    </row>
    <row r="4" spans="1:15" ht="35.549999999999997" customHeight="1" x14ac:dyDescent="0.35">
      <c r="A4" s="18" t="s">
        <v>5</v>
      </c>
      <c r="B4" s="2" t="s">
        <v>39</v>
      </c>
      <c r="C4" s="2" t="s">
        <v>53</v>
      </c>
      <c r="D4" s="2">
        <v>2</v>
      </c>
      <c r="E4" s="2">
        <v>9</v>
      </c>
      <c r="F4" s="2" t="s">
        <v>6</v>
      </c>
      <c r="G4" s="2">
        <v>85</v>
      </c>
      <c r="H4" s="2">
        <v>10</v>
      </c>
      <c r="I4" s="2">
        <v>88</v>
      </c>
      <c r="J4" s="13">
        <f t="shared" ref="J4:J17" si="0">SUM(G4:I4)</f>
        <v>183</v>
      </c>
      <c r="K4" s="14" t="str">
        <f t="shared" ref="K4:K17" si="1">IF(J4&gt;=120,"Pass","Fail")</f>
        <v>Pass</v>
      </c>
      <c r="L4" s="15"/>
    </row>
    <row r="5" spans="1:15" ht="35.549999999999997" customHeight="1" x14ac:dyDescent="0.35">
      <c r="A5" s="18" t="s">
        <v>7</v>
      </c>
      <c r="B5" s="2" t="s">
        <v>40</v>
      </c>
      <c r="C5" s="2" t="s">
        <v>54</v>
      </c>
      <c r="D5" s="2">
        <v>3</v>
      </c>
      <c r="E5" s="2">
        <v>9</v>
      </c>
      <c r="F5" s="2" t="s">
        <v>8</v>
      </c>
      <c r="G5" s="2">
        <v>90</v>
      </c>
      <c r="H5" s="2">
        <v>92</v>
      </c>
      <c r="I5" s="2">
        <v>86</v>
      </c>
      <c r="J5" s="13">
        <f t="shared" si="0"/>
        <v>268</v>
      </c>
      <c r="K5" s="14" t="str">
        <f t="shared" si="1"/>
        <v>Pass</v>
      </c>
      <c r="L5" s="15"/>
    </row>
    <row r="6" spans="1:15" ht="35.549999999999997" customHeight="1" x14ac:dyDescent="0.35">
      <c r="A6" s="18" t="s">
        <v>9</v>
      </c>
      <c r="B6" s="2" t="s">
        <v>41</v>
      </c>
      <c r="C6" s="2" t="s">
        <v>55</v>
      </c>
      <c r="D6" s="2">
        <v>4</v>
      </c>
      <c r="E6" s="2">
        <v>9</v>
      </c>
      <c r="F6" s="2" t="s">
        <v>10</v>
      </c>
      <c r="G6" s="2">
        <v>50</v>
      </c>
      <c r="H6" s="2">
        <v>10</v>
      </c>
      <c r="I6" s="2">
        <v>40</v>
      </c>
      <c r="J6" s="13">
        <f t="shared" si="0"/>
        <v>100</v>
      </c>
      <c r="K6" s="14" t="str">
        <f t="shared" si="1"/>
        <v>Fail</v>
      </c>
      <c r="L6" s="15"/>
    </row>
    <row r="7" spans="1:15" ht="35.549999999999997" customHeight="1" x14ac:dyDescent="0.4">
      <c r="A7" s="18" t="s">
        <v>11</v>
      </c>
      <c r="B7" s="2" t="s">
        <v>42</v>
      </c>
      <c r="C7" s="2" t="s">
        <v>56</v>
      </c>
      <c r="D7" s="2">
        <v>5</v>
      </c>
      <c r="E7" s="2">
        <v>9</v>
      </c>
      <c r="F7" s="2" t="s">
        <v>67</v>
      </c>
      <c r="G7" s="2">
        <v>88</v>
      </c>
      <c r="H7" s="2">
        <v>84</v>
      </c>
      <c r="I7" s="2">
        <v>79</v>
      </c>
      <c r="J7" s="13">
        <f t="shared" si="0"/>
        <v>251</v>
      </c>
      <c r="K7" s="14" t="str">
        <f t="shared" si="1"/>
        <v>Pass</v>
      </c>
      <c r="L7" s="15"/>
      <c r="N7" s="6" t="s">
        <v>70</v>
      </c>
      <c r="O7" s="6"/>
    </row>
    <row r="8" spans="1:15" ht="35.549999999999997" customHeight="1" x14ac:dyDescent="0.4">
      <c r="A8" s="18" t="s">
        <v>12</v>
      </c>
      <c r="B8" s="2" t="s">
        <v>43</v>
      </c>
      <c r="C8" s="2" t="s">
        <v>57</v>
      </c>
      <c r="D8" s="2">
        <v>6</v>
      </c>
      <c r="E8" s="2">
        <v>9</v>
      </c>
      <c r="F8" s="2" t="s">
        <v>13</v>
      </c>
      <c r="G8" s="2">
        <v>20</v>
      </c>
      <c r="H8" s="2">
        <v>10</v>
      </c>
      <c r="I8" s="2">
        <v>20</v>
      </c>
      <c r="J8" s="13">
        <f t="shared" si="0"/>
        <v>50</v>
      </c>
      <c r="K8" s="14" t="str">
        <f t="shared" si="1"/>
        <v>Fail</v>
      </c>
      <c r="L8" s="15"/>
      <c r="N8" s="7">
        <f>COUNTIF(Student_Data!F3:F17,"Delhi")</f>
        <v>3</v>
      </c>
      <c r="O8" s="8"/>
    </row>
    <row r="9" spans="1:15" ht="35.549999999999997" customHeight="1" x14ac:dyDescent="0.35">
      <c r="A9" s="18" t="s">
        <v>14</v>
      </c>
      <c r="B9" s="2" t="s">
        <v>44</v>
      </c>
      <c r="C9" s="2" t="s">
        <v>58</v>
      </c>
      <c r="D9" s="2">
        <v>7</v>
      </c>
      <c r="E9" s="2">
        <v>9</v>
      </c>
      <c r="F9" s="2" t="s">
        <v>15</v>
      </c>
      <c r="G9" s="2">
        <v>92</v>
      </c>
      <c r="H9" s="2">
        <v>89</v>
      </c>
      <c r="I9" s="2">
        <v>94</v>
      </c>
      <c r="J9" s="13">
        <f t="shared" si="0"/>
        <v>275</v>
      </c>
      <c r="K9" s="14" t="str">
        <f t="shared" si="1"/>
        <v>Pass</v>
      </c>
      <c r="L9" s="15"/>
    </row>
    <row r="10" spans="1:15" ht="35.549999999999997" customHeight="1" x14ac:dyDescent="0.35">
      <c r="A10" s="18" t="s">
        <v>16</v>
      </c>
      <c r="B10" s="2" t="s">
        <v>45</v>
      </c>
      <c r="C10" s="2" t="s">
        <v>59</v>
      </c>
      <c r="D10" s="2">
        <v>8</v>
      </c>
      <c r="E10" s="2">
        <v>9</v>
      </c>
      <c r="F10" s="2" t="s">
        <v>17</v>
      </c>
      <c r="G10" s="2">
        <v>81</v>
      </c>
      <c r="H10" s="2">
        <v>77</v>
      </c>
      <c r="I10" s="2">
        <v>85</v>
      </c>
      <c r="J10" s="13">
        <f t="shared" si="0"/>
        <v>243</v>
      </c>
      <c r="K10" s="14" t="str">
        <f t="shared" si="1"/>
        <v>Pass</v>
      </c>
      <c r="L10" s="15"/>
    </row>
    <row r="11" spans="1:15" ht="35.549999999999997" customHeight="1" x14ac:dyDescent="0.35">
      <c r="A11" s="18" t="s">
        <v>18</v>
      </c>
      <c r="B11" s="2" t="s">
        <v>46</v>
      </c>
      <c r="C11" s="2" t="s">
        <v>60</v>
      </c>
      <c r="D11" s="2">
        <v>9</v>
      </c>
      <c r="E11" s="2">
        <v>9</v>
      </c>
      <c r="F11" s="2" t="s">
        <v>19</v>
      </c>
      <c r="G11" s="2">
        <v>90</v>
      </c>
      <c r="H11" s="2">
        <v>88</v>
      </c>
      <c r="I11" s="2">
        <v>91</v>
      </c>
      <c r="J11" s="13">
        <f t="shared" si="0"/>
        <v>269</v>
      </c>
      <c r="K11" s="14" t="str">
        <f t="shared" si="1"/>
        <v>Pass</v>
      </c>
      <c r="L11" s="15"/>
    </row>
    <row r="12" spans="1:15" ht="35.549999999999997" customHeight="1" x14ac:dyDescent="0.35">
      <c r="A12" s="18" t="s">
        <v>20</v>
      </c>
      <c r="B12" s="2" t="s">
        <v>47</v>
      </c>
      <c r="C12" s="2" t="s">
        <v>61</v>
      </c>
      <c r="D12" s="2">
        <v>10</v>
      </c>
      <c r="E12" s="2">
        <v>9</v>
      </c>
      <c r="F12" s="2" t="s">
        <v>21</v>
      </c>
      <c r="G12" s="2">
        <v>74</v>
      </c>
      <c r="H12" s="2">
        <v>79</v>
      </c>
      <c r="I12" s="2">
        <v>82</v>
      </c>
      <c r="J12" s="13">
        <f t="shared" si="0"/>
        <v>235</v>
      </c>
      <c r="K12" s="14" t="str">
        <f t="shared" si="1"/>
        <v>Pass</v>
      </c>
      <c r="L12" s="15"/>
    </row>
    <row r="13" spans="1:15" ht="35.549999999999997" customHeight="1" x14ac:dyDescent="0.35">
      <c r="A13" s="18" t="s">
        <v>22</v>
      </c>
      <c r="B13" s="2" t="s">
        <v>48</v>
      </c>
      <c r="C13" s="2" t="s">
        <v>62</v>
      </c>
      <c r="D13" s="2">
        <v>11</v>
      </c>
      <c r="E13" s="2">
        <v>9</v>
      </c>
      <c r="F13" s="2" t="s">
        <v>23</v>
      </c>
      <c r="G13" s="2">
        <v>86</v>
      </c>
      <c r="H13" s="2">
        <v>83</v>
      </c>
      <c r="I13" s="2">
        <v>88</v>
      </c>
      <c r="J13" s="13">
        <f t="shared" si="0"/>
        <v>257</v>
      </c>
      <c r="K13" s="14" t="str">
        <f t="shared" si="1"/>
        <v>Pass</v>
      </c>
      <c r="L13" s="15"/>
    </row>
    <row r="14" spans="1:15" ht="35.549999999999997" customHeight="1" x14ac:dyDescent="0.35">
      <c r="A14" s="18" t="s">
        <v>24</v>
      </c>
      <c r="B14" s="2" t="s">
        <v>49</v>
      </c>
      <c r="C14" s="2" t="s">
        <v>63</v>
      </c>
      <c r="D14" s="2">
        <v>12</v>
      </c>
      <c r="E14" s="2">
        <v>9</v>
      </c>
      <c r="F14" s="2" t="s">
        <v>25</v>
      </c>
      <c r="G14" s="2">
        <v>89</v>
      </c>
      <c r="H14" s="2">
        <v>91</v>
      </c>
      <c r="I14" s="2">
        <v>87</v>
      </c>
      <c r="J14" s="13">
        <f t="shared" si="0"/>
        <v>267</v>
      </c>
      <c r="K14" s="14" t="str">
        <f t="shared" si="1"/>
        <v>Pass</v>
      </c>
      <c r="L14" s="15"/>
    </row>
    <row r="15" spans="1:15" ht="35.549999999999997" customHeight="1" x14ac:dyDescent="0.35">
      <c r="A15" s="18" t="s">
        <v>26</v>
      </c>
      <c r="B15" s="2" t="s">
        <v>50</v>
      </c>
      <c r="C15" s="2" t="s">
        <v>64</v>
      </c>
      <c r="D15" s="2">
        <v>13</v>
      </c>
      <c r="E15" s="2">
        <v>9</v>
      </c>
      <c r="F15" s="2" t="s">
        <v>67</v>
      </c>
      <c r="G15" s="2">
        <v>80</v>
      </c>
      <c r="H15" s="2">
        <v>85</v>
      </c>
      <c r="I15" s="2">
        <v>78</v>
      </c>
      <c r="J15" s="13">
        <f t="shared" si="0"/>
        <v>243</v>
      </c>
      <c r="K15" s="14" t="str">
        <f t="shared" si="1"/>
        <v>Pass</v>
      </c>
      <c r="L15" s="15"/>
    </row>
    <row r="16" spans="1:15" ht="35.549999999999997" customHeight="1" x14ac:dyDescent="0.35">
      <c r="A16" s="18" t="s">
        <v>27</v>
      </c>
      <c r="B16" s="2" t="s">
        <v>51</v>
      </c>
      <c r="C16" s="2" t="s">
        <v>65</v>
      </c>
      <c r="D16" s="2">
        <v>14</v>
      </c>
      <c r="E16" s="2">
        <v>9</v>
      </c>
      <c r="F16" s="2" t="s">
        <v>28</v>
      </c>
      <c r="G16" s="2">
        <v>93</v>
      </c>
      <c r="H16" s="2">
        <v>90</v>
      </c>
      <c r="I16" s="2">
        <v>92</v>
      </c>
      <c r="J16" s="13">
        <f t="shared" si="0"/>
        <v>275</v>
      </c>
      <c r="K16" s="14" t="str">
        <f t="shared" si="1"/>
        <v>Pass</v>
      </c>
      <c r="L16" s="15"/>
    </row>
    <row r="17" spans="1:12" ht="35.549999999999997" customHeight="1" x14ac:dyDescent="0.35">
      <c r="A17" s="24" t="s">
        <v>29</v>
      </c>
      <c r="B17" s="25" t="s">
        <v>52</v>
      </c>
      <c r="C17" s="25" t="s">
        <v>66</v>
      </c>
      <c r="D17" s="25">
        <v>15</v>
      </c>
      <c r="E17" s="25">
        <v>9</v>
      </c>
      <c r="F17" s="25" t="s">
        <v>30</v>
      </c>
      <c r="G17" s="25">
        <v>87</v>
      </c>
      <c r="H17" s="25">
        <v>84</v>
      </c>
      <c r="I17" s="25">
        <v>89</v>
      </c>
      <c r="J17" s="26">
        <f t="shared" si="0"/>
        <v>260</v>
      </c>
      <c r="K17" s="27" t="str">
        <f t="shared" si="1"/>
        <v>Pass</v>
      </c>
      <c r="L17" s="15"/>
    </row>
  </sheetData>
  <mergeCells count="3">
    <mergeCell ref="N7:O7"/>
    <mergeCell ref="N8:O8"/>
    <mergeCell ref="A1:K1"/>
  </mergeCells>
  <conditionalFormatting sqref="G3:I17">
    <cfRule type="cellIs" dxfId="17" priority="1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C175-BDDB-49C5-85B6-A09DC4345F2F}">
  <dimension ref="A1:O17"/>
  <sheetViews>
    <sheetView zoomScale="70" zoomScaleNormal="70" workbookViewId="0">
      <selection activeCell="L4" sqref="L4"/>
    </sheetView>
  </sheetViews>
  <sheetFormatPr defaultRowHeight="20.399999999999999" x14ac:dyDescent="0.35"/>
  <sheetData>
    <row r="1" spans="1:15" ht="30" x14ac:dyDescent="0.3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5" ht="63" x14ac:dyDescent="0.35">
      <c r="A2" s="3" t="s">
        <v>0</v>
      </c>
      <c r="B2" s="3" t="s">
        <v>35</v>
      </c>
      <c r="C2" s="3" t="s">
        <v>36</v>
      </c>
      <c r="D2" s="3" t="s">
        <v>1</v>
      </c>
      <c r="E2" s="3" t="s">
        <v>2</v>
      </c>
      <c r="F2" s="3" t="s">
        <v>3</v>
      </c>
      <c r="G2" s="1" t="s">
        <v>31</v>
      </c>
      <c r="H2" s="1" t="s">
        <v>32</v>
      </c>
      <c r="I2" s="1" t="s">
        <v>33</v>
      </c>
      <c r="J2" s="12" t="s">
        <v>68</v>
      </c>
      <c r="K2" s="12" t="s">
        <v>69</v>
      </c>
      <c r="L2" s="12" t="s">
        <v>71</v>
      </c>
    </row>
    <row r="3" spans="1:15" ht="40.799999999999997" x14ac:dyDescent="0.4">
      <c r="A3" s="2" t="s">
        <v>4</v>
      </c>
      <c r="B3" s="2" t="s">
        <v>37</v>
      </c>
      <c r="C3" s="2" t="s">
        <v>38</v>
      </c>
      <c r="D3" s="2">
        <v>1</v>
      </c>
      <c r="E3" s="2">
        <v>9</v>
      </c>
      <c r="F3" s="2" t="s">
        <v>67</v>
      </c>
      <c r="G3" s="2">
        <v>78</v>
      </c>
      <c r="H3" s="2">
        <v>82</v>
      </c>
      <c r="I3" s="2">
        <v>75</v>
      </c>
      <c r="J3" s="13">
        <f>SUM(G3:I3)</f>
        <v>235</v>
      </c>
      <c r="K3" s="13" t="str">
        <f>IF(J3&gt;=120,"Pass","Fail")</f>
        <v>Pass</v>
      </c>
      <c r="L3" s="13">
        <f>AVERAGE(G3:I3)</f>
        <v>78.333333333333329</v>
      </c>
      <c r="N3" s="6" t="s">
        <v>72</v>
      </c>
      <c r="O3" s="6"/>
    </row>
    <row r="4" spans="1:15" ht="40.799999999999997" x14ac:dyDescent="0.35">
      <c r="A4" s="2" t="s">
        <v>5</v>
      </c>
      <c r="B4" s="2" t="s">
        <v>39</v>
      </c>
      <c r="C4" s="2" t="s">
        <v>53</v>
      </c>
      <c r="D4" s="2">
        <v>2</v>
      </c>
      <c r="E4" s="2">
        <v>9</v>
      </c>
      <c r="F4" s="2" t="s">
        <v>6</v>
      </c>
      <c r="G4" s="2">
        <v>85</v>
      </c>
      <c r="H4" s="2">
        <v>10</v>
      </c>
      <c r="I4" s="2">
        <v>88</v>
      </c>
      <c r="J4" s="13">
        <f t="shared" ref="J4:J17" si="0">SUM(G4:I4)</f>
        <v>183</v>
      </c>
      <c r="K4" s="13" t="str">
        <f t="shared" ref="K4:K17" si="1">IF(J4&gt;=120,"Pass","Fail")</f>
        <v>Pass</v>
      </c>
      <c r="L4" s="13">
        <f t="shared" ref="L4:L17" si="2">AVERAGE(G4:I4)</f>
        <v>61</v>
      </c>
      <c r="N4" s="9">
        <f>MAX(Student_Data!J3:J17)</f>
        <v>275</v>
      </c>
      <c r="O4" s="9"/>
    </row>
    <row r="5" spans="1:15" ht="40.799999999999997" x14ac:dyDescent="0.35">
      <c r="A5" s="2" t="s">
        <v>7</v>
      </c>
      <c r="B5" s="2" t="s">
        <v>40</v>
      </c>
      <c r="C5" s="2" t="s">
        <v>54</v>
      </c>
      <c r="D5" s="2">
        <v>3</v>
      </c>
      <c r="E5" s="2">
        <v>9</v>
      </c>
      <c r="F5" s="2" t="s">
        <v>8</v>
      </c>
      <c r="G5" s="2">
        <v>90</v>
      </c>
      <c r="H5" s="2">
        <v>92</v>
      </c>
      <c r="I5" s="2">
        <v>86</v>
      </c>
      <c r="J5" s="13">
        <f t="shared" si="0"/>
        <v>268</v>
      </c>
      <c r="K5" s="13" t="str">
        <f t="shared" si="1"/>
        <v>Pass</v>
      </c>
      <c r="L5" s="13">
        <f t="shared" si="2"/>
        <v>89.333333333333329</v>
      </c>
    </row>
    <row r="6" spans="1:15" ht="40.799999999999997" x14ac:dyDescent="0.4">
      <c r="A6" s="2" t="s">
        <v>9</v>
      </c>
      <c r="B6" s="2" t="s">
        <v>41</v>
      </c>
      <c r="C6" s="2" t="s">
        <v>55</v>
      </c>
      <c r="D6" s="2">
        <v>4</v>
      </c>
      <c r="E6" s="2">
        <v>9</v>
      </c>
      <c r="F6" s="2" t="s">
        <v>10</v>
      </c>
      <c r="G6" s="2">
        <v>50</v>
      </c>
      <c r="H6" s="2">
        <v>10</v>
      </c>
      <c r="I6" s="2">
        <v>40</v>
      </c>
      <c r="J6" s="13">
        <f t="shared" si="0"/>
        <v>100</v>
      </c>
      <c r="K6" s="13" t="str">
        <f t="shared" si="1"/>
        <v>Fail</v>
      </c>
      <c r="L6" s="13">
        <f t="shared" si="2"/>
        <v>33.333333333333336</v>
      </c>
      <c r="N6" s="6" t="s">
        <v>73</v>
      </c>
      <c r="O6" s="9"/>
    </row>
    <row r="7" spans="1:15" ht="40.799999999999997" x14ac:dyDescent="0.35">
      <c r="A7" s="2" t="s">
        <v>11</v>
      </c>
      <c r="B7" s="2" t="s">
        <v>42</v>
      </c>
      <c r="C7" s="2" t="s">
        <v>56</v>
      </c>
      <c r="D7" s="2">
        <v>5</v>
      </c>
      <c r="E7" s="2">
        <v>9</v>
      </c>
      <c r="F7" s="2" t="s">
        <v>67</v>
      </c>
      <c r="G7" s="2">
        <v>88</v>
      </c>
      <c r="H7" s="2">
        <v>84</v>
      </c>
      <c r="I7" s="2">
        <v>79</v>
      </c>
      <c r="J7" s="13">
        <f t="shared" si="0"/>
        <v>251</v>
      </c>
      <c r="K7" s="13" t="str">
        <f t="shared" si="1"/>
        <v>Pass</v>
      </c>
      <c r="L7" s="13">
        <f t="shared" si="2"/>
        <v>83.666666666666671</v>
      </c>
      <c r="N7" s="9">
        <f>MIN(Student_Data!J3:J17)</f>
        <v>50</v>
      </c>
      <c r="O7" s="9"/>
    </row>
    <row r="8" spans="1:15" ht="40.799999999999997" x14ac:dyDescent="0.35">
      <c r="A8" s="2" t="s">
        <v>12</v>
      </c>
      <c r="B8" s="2" t="s">
        <v>43</v>
      </c>
      <c r="C8" s="2" t="s">
        <v>57</v>
      </c>
      <c r="D8" s="2">
        <v>6</v>
      </c>
      <c r="E8" s="2">
        <v>9</v>
      </c>
      <c r="F8" s="2" t="s">
        <v>13</v>
      </c>
      <c r="G8" s="2">
        <v>20</v>
      </c>
      <c r="H8" s="2">
        <v>10</v>
      </c>
      <c r="I8" s="2">
        <v>20</v>
      </c>
      <c r="J8" s="13">
        <f t="shared" si="0"/>
        <v>50</v>
      </c>
      <c r="K8" s="13" t="str">
        <f t="shared" si="1"/>
        <v>Fail</v>
      </c>
      <c r="L8" s="13">
        <f t="shared" si="2"/>
        <v>16.666666666666668</v>
      </c>
    </row>
    <row r="9" spans="1:15" ht="40.799999999999997" x14ac:dyDescent="0.35">
      <c r="A9" s="2" t="s">
        <v>14</v>
      </c>
      <c r="B9" s="2" t="s">
        <v>44</v>
      </c>
      <c r="C9" s="2" t="s">
        <v>58</v>
      </c>
      <c r="D9" s="2">
        <v>7</v>
      </c>
      <c r="E9" s="2">
        <v>9</v>
      </c>
      <c r="F9" s="2" t="s">
        <v>15</v>
      </c>
      <c r="G9" s="2">
        <v>92</v>
      </c>
      <c r="H9" s="2">
        <v>89</v>
      </c>
      <c r="I9" s="2">
        <v>94</v>
      </c>
      <c r="J9" s="13">
        <f t="shared" si="0"/>
        <v>275</v>
      </c>
      <c r="K9" s="13" t="str">
        <f t="shared" si="1"/>
        <v>Pass</v>
      </c>
      <c r="L9" s="13">
        <f t="shared" si="2"/>
        <v>91.666666666666671</v>
      </c>
      <c r="N9" s="17" t="s">
        <v>74</v>
      </c>
      <c r="O9" s="17">
        <f>COUNTIF(K3:K17,"Pass")</f>
        <v>13</v>
      </c>
    </row>
    <row r="10" spans="1:15" x14ac:dyDescent="0.35">
      <c r="A10" s="2" t="s">
        <v>16</v>
      </c>
      <c r="B10" s="2" t="s">
        <v>45</v>
      </c>
      <c r="C10" s="2" t="s">
        <v>59</v>
      </c>
      <c r="D10" s="2">
        <v>8</v>
      </c>
      <c r="E10" s="2">
        <v>9</v>
      </c>
      <c r="F10" s="2" t="s">
        <v>17</v>
      </c>
      <c r="G10" s="2">
        <v>81</v>
      </c>
      <c r="H10" s="2">
        <v>77</v>
      </c>
      <c r="I10" s="2">
        <v>85</v>
      </c>
      <c r="J10" s="13">
        <f t="shared" si="0"/>
        <v>243</v>
      </c>
      <c r="K10" s="13" t="str">
        <f t="shared" si="1"/>
        <v>Pass</v>
      </c>
      <c r="L10" s="13">
        <f t="shared" si="2"/>
        <v>81</v>
      </c>
      <c r="N10" s="17" t="s">
        <v>75</v>
      </c>
      <c r="O10" s="17">
        <f>COUNTIF(K3:K17,"Fail")</f>
        <v>2</v>
      </c>
    </row>
    <row r="11" spans="1:15" ht="40.799999999999997" x14ac:dyDescent="0.35">
      <c r="A11" s="2" t="s">
        <v>18</v>
      </c>
      <c r="B11" s="2" t="s">
        <v>46</v>
      </c>
      <c r="C11" s="2" t="s">
        <v>60</v>
      </c>
      <c r="D11" s="2">
        <v>9</v>
      </c>
      <c r="E11" s="2">
        <v>9</v>
      </c>
      <c r="F11" s="2" t="s">
        <v>19</v>
      </c>
      <c r="G11" s="2">
        <v>90</v>
      </c>
      <c r="H11" s="2">
        <v>88</v>
      </c>
      <c r="I11" s="2">
        <v>91</v>
      </c>
      <c r="J11" s="13">
        <f t="shared" si="0"/>
        <v>269</v>
      </c>
      <c r="K11" s="13" t="str">
        <f t="shared" si="1"/>
        <v>Pass</v>
      </c>
      <c r="L11" s="13">
        <f t="shared" si="2"/>
        <v>89.666666666666671</v>
      </c>
    </row>
    <row r="12" spans="1:15" ht="40.799999999999997" x14ac:dyDescent="0.35">
      <c r="A12" s="2" t="s">
        <v>20</v>
      </c>
      <c r="B12" s="2" t="s">
        <v>47</v>
      </c>
      <c r="C12" s="2" t="s">
        <v>61</v>
      </c>
      <c r="D12" s="2">
        <v>10</v>
      </c>
      <c r="E12" s="2">
        <v>9</v>
      </c>
      <c r="F12" s="2" t="s">
        <v>21</v>
      </c>
      <c r="G12" s="2">
        <v>74</v>
      </c>
      <c r="H12" s="2">
        <v>79</v>
      </c>
      <c r="I12" s="2">
        <v>82</v>
      </c>
      <c r="J12" s="13">
        <f t="shared" si="0"/>
        <v>235</v>
      </c>
      <c r="K12" s="13" t="str">
        <f t="shared" si="1"/>
        <v>Pass</v>
      </c>
      <c r="L12" s="13">
        <f t="shared" si="2"/>
        <v>78.333333333333329</v>
      </c>
    </row>
    <row r="13" spans="1:15" x14ac:dyDescent="0.35">
      <c r="A13" s="2" t="s">
        <v>22</v>
      </c>
      <c r="B13" s="2" t="s">
        <v>48</v>
      </c>
      <c r="C13" s="2" t="s">
        <v>62</v>
      </c>
      <c r="D13" s="2">
        <v>11</v>
      </c>
      <c r="E13" s="2">
        <v>9</v>
      </c>
      <c r="F13" s="2" t="s">
        <v>23</v>
      </c>
      <c r="G13" s="2">
        <v>86</v>
      </c>
      <c r="H13" s="2">
        <v>83</v>
      </c>
      <c r="I13" s="2">
        <v>88</v>
      </c>
      <c r="J13" s="13">
        <f t="shared" si="0"/>
        <v>257</v>
      </c>
      <c r="K13" s="13" t="str">
        <f t="shared" si="1"/>
        <v>Pass</v>
      </c>
      <c r="L13" s="13">
        <f t="shared" si="2"/>
        <v>85.666666666666671</v>
      </c>
    </row>
    <row r="14" spans="1:15" ht="40.799999999999997" x14ac:dyDescent="0.35">
      <c r="A14" s="2" t="s">
        <v>24</v>
      </c>
      <c r="B14" s="2" t="s">
        <v>49</v>
      </c>
      <c r="C14" s="2" t="s">
        <v>63</v>
      </c>
      <c r="D14" s="2">
        <v>12</v>
      </c>
      <c r="E14" s="2">
        <v>9</v>
      </c>
      <c r="F14" s="2" t="s">
        <v>25</v>
      </c>
      <c r="G14" s="2">
        <v>89</v>
      </c>
      <c r="H14" s="2">
        <v>91</v>
      </c>
      <c r="I14" s="2">
        <v>87</v>
      </c>
      <c r="J14" s="13">
        <f t="shared" si="0"/>
        <v>267</v>
      </c>
      <c r="K14" s="13" t="str">
        <f t="shared" si="1"/>
        <v>Pass</v>
      </c>
      <c r="L14" s="13">
        <f t="shared" si="2"/>
        <v>89</v>
      </c>
    </row>
    <row r="15" spans="1:15" ht="40.799999999999997" x14ac:dyDescent="0.35">
      <c r="A15" s="2" t="s">
        <v>26</v>
      </c>
      <c r="B15" s="2" t="s">
        <v>50</v>
      </c>
      <c r="C15" s="2" t="s">
        <v>64</v>
      </c>
      <c r="D15" s="2">
        <v>13</v>
      </c>
      <c r="E15" s="2">
        <v>9</v>
      </c>
      <c r="F15" s="2" t="s">
        <v>67</v>
      </c>
      <c r="G15" s="2">
        <v>80</v>
      </c>
      <c r="H15" s="2">
        <v>85</v>
      </c>
      <c r="I15" s="2">
        <v>78</v>
      </c>
      <c r="J15" s="13">
        <f t="shared" si="0"/>
        <v>243</v>
      </c>
      <c r="K15" s="13" t="str">
        <f t="shared" si="1"/>
        <v>Pass</v>
      </c>
      <c r="L15" s="13">
        <f t="shared" si="2"/>
        <v>81</v>
      </c>
    </row>
    <row r="16" spans="1:15" ht="40.799999999999997" x14ac:dyDescent="0.35">
      <c r="A16" s="2" t="s">
        <v>27</v>
      </c>
      <c r="B16" s="2" t="s">
        <v>51</v>
      </c>
      <c r="C16" s="2" t="s">
        <v>65</v>
      </c>
      <c r="D16" s="2">
        <v>14</v>
      </c>
      <c r="E16" s="2">
        <v>9</v>
      </c>
      <c r="F16" s="2" t="s">
        <v>28</v>
      </c>
      <c r="G16" s="2">
        <v>93</v>
      </c>
      <c r="H16" s="2">
        <v>90</v>
      </c>
      <c r="I16" s="2">
        <v>92</v>
      </c>
      <c r="J16" s="13">
        <f t="shared" si="0"/>
        <v>275</v>
      </c>
      <c r="K16" s="13" t="str">
        <f t="shared" si="1"/>
        <v>Pass</v>
      </c>
      <c r="L16" s="13">
        <f t="shared" si="2"/>
        <v>91.666666666666671</v>
      </c>
    </row>
    <row r="17" spans="1:12" ht="40.799999999999997" x14ac:dyDescent="0.35">
      <c r="A17" s="2" t="s">
        <v>29</v>
      </c>
      <c r="B17" s="2" t="s">
        <v>52</v>
      </c>
      <c r="C17" s="2" t="s">
        <v>66</v>
      </c>
      <c r="D17" s="2">
        <v>15</v>
      </c>
      <c r="E17" s="2">
        <v>9</v>
      </c>
      <c r="F17" s="2" t="s">
        <v>30</v>
      </c>
      <c r="G17" s="2">
        <v>87</v>
      </c>
      <c r="H17" s="2">
        <v>84</v>
      </c>
      <c r="I17" s="2">
        <v>89</v>
      </c>
      <c r="J17" s="13">
        <f t="shared" si="0"/>
        <v>260</v>
      </c>
      <c r="K17" s="13" t="str">
        <f t="shared" si="1"/>
        <v>Pass</v>
      </c>
      <c r="L17" s="13">
        <f t="shared" si="2"/>
        <v>86.666666666666671</v>
      </c>
    </row>
  </sheetData>
  <mergeCells count="5">
    <mergeCell ref="N7:O7"/>
    <mergeCell ref="A1:L1"/>
    <mergeCell ref="N3:O3"/>
    <mergeCell ref="N4:O4"/>
    <mergeCell ref="N6:O6"/>
  </mergeCells>
  <conditionalFormatting sqref="G3:J17">
    <cfRule type="cellIs" dxfId="16" priority="1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94E-5380-4375-836E-45DA4424436F}">
  <dimension ref="A1"/>
  <sheetViews>
    <sheetView workbookViewId="0">
      <selection activeCell="G12" sqref="G12"/>
    </sheetView>
  </sheetViews>
  <sheetFormatPr defaultRowHeight="20.399999999999999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shivam raj</cp:lastModifiedBy>
  <dcterms:created xsi:type="dcterms:W3CDTF">2025-12-21T10:26:24Z</dcterms:created>
  <dcterms:modified xsi:type="dcterms:W3CDTF">2025-12-30T06:43:55Z</dcterms:modified>
</cp:coreProperties>
</file>